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amse\Claude\Projects\VIC\Tool\Earnings Trackers\tracker\"/>
    </mc:Choice>
  </mc:AlternateContent>
  <xr:revisionPtr revIDLastSave="0" documentId="13_ncr:1_{42FCC86F-10F2-4EB6-AB45-0D9E583F65F1}" xr6:coauthVersionLast="47" xr6:coauthVersionMax="47" xr10:uidLastSave="{00000000-0000-0000-0000-000000000000}"/>
  <bookViews>
    <workbookView xWindow="-23148" yWindow="-108" windowWidth="23256" windowHeight="12456" firstSheet="1" activeTab="1" xr2:uid="{00000000-000D-0000-FFFF-FFFF00000000}"/>
  </bookViews>
  <sheets>
    <sheet name="__snloffice" sheetId="2" state="veryHidden" r:id="rId1"/>
    <sheet name="ETF_ticker_test"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DBCD0DC0_C04F_4D9C_8546_7F2218CED133_" localSheetId="1" hidden="1">ETF_ticker_test!$C$36,ETF_ticker_test!$B$37:$C$45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 l="1"/>
  <c r="D32" i="1"/>
  <c r="C32" i="1"/>
  <c r="D31" i="1"/>
  <c r="C31" i="1"/>
  <c r="D30" i="1"/>
  <c r="C30" i="1"/>
  <c r="D29" i="1"/>
  <c r="C29" i="1"/>
  <c r="D28" i="1"/>
  <c r="C28" i="1"/>
  <c r="D27" i="1"/>
  <c r="C27" i="1"/>
  <c r="D26" i="1"/>
  <c r="C26" i="1"/>
  <c r="D25" i="1"/>
  <c r="C25" i="1"/>
  <c r="D24" i="1"/>
  <c r="C24" i="1"/>
  <c r="D22" i="1"/>
  <c r="C22" i="1"/>
  <c r="D21" i="1"/>
  <c r="C21" i="1"/>
  <c r="D20" i="1"/>
  <c r="C20" i="1"/>
  <c r="D19" i="1"/>
  <c r="C19" i="1"/>
  <c r="D18" i="1"/>
  <c r="C18" i="1"/>
  <c r="D17" i="1"/>
  <c r="C17" i="1"/>
  <c r="D16" i="1"/>
  <c r="C16" i="1"/>
  <c r="D15" i="1"/>
  <c r="C15" i="1"/>
  <c r="D14" i="1"/>
  <c r="C14" i="1"/>
  <c r="D12" i="1"/>
  <c r="C12" i="1"/>
  <c r="D11" i="1"/>
  <c r="C11" i="1"/>
  <c r="D10" i="1"/>
  <c r="C10" i="1"/>
  <c r="D9" i="1"/>
  <c r="C9" i="1"/>
  <c r="D8" i="1"/>
  <c r="C8" i="1"/>
  <c r="D7" i="1"/>
  <c r="C7" i="1"/>
  <c r="D6" i="1"/>
  <c r="C6" i="1"/>
  <c r="D5" i="1"/>
  <c r="C5" i="1"/>
  <c r="D4" i="1"/>
  <c r="C4" i="1"/>
</calcChain>
</file>

<file path=xl/sharedStrings.xml><?xml version="1.0" encoding="utf-8"?>
<sst xmlns="http://schemas.openxmlformats.org/spreadsheetml/2006/main" count="62" uniqueCount="35">
  <si>
    <t>Which CIQ ticker format works for ETFs? Refresh; the first format per ETF that returns a price is the one to put in config/benchmarks.csv</t>
  </si>
  <si>
    <t>etf</t>
  </si>
  <si>
    <t>candidate</t>
  </si>
  <si>
    <t>SP_PRICE_CLOSE @ 2025-01-02</t>
  </si>
  <si>
    <t>SP_COMPANY_NAME</t>
  </si>
  <si>
    <t>XLE</t>
  </si>
  <si>
    <t>ARCA:XLE</t>
  </si>
  <si>
    <t>NYSEArca:XLE</t>
  </si>
  <si>
    <t>NYSEARCA:XLE</t>
  </si>
  <si>
    <t>XLE-US</t>
  </si>
  <si>
    <t>AMEX:XLE</t>
  </si>
  <si>
    <t>NYSE:XLE</t>
  </si>
  <si>
    <t>BATS:XLE</t>
  </si>
  <si>
    <t>NasdaqGM:XLE</t>
  </si>
  <si>
    <t>OIH</t>
  </si>
  <si>
    <t>ARCA:OIH</t>
  </si>
  <si>
    <t>NYSEArca:OIH</t>
  </si>
  <si>
    <t>NYSEARCA:OIH</t>
  </si>
  <si>
    <t>OIH-US</t>
  </si>
  <si>
    <t>AMEX:OIH</t>
  </si>
  <si>
    <t>NYSE:OIH</t>
  </si>
  <si>
    <t>BATS:OIH</t>
  </si>
  <si>
    <t>NasdaqGM:OIH</t>
  </si>
  <si>
    <t>SPY</t>
  </si>
  <si>
    <t>ARCA:SPY</t>
  </si>
  <si>
    <t>NYSEArca:SPY</t>
  </si>
  <si>
    <t>NYSEARCA:SPY</t>
  </si>
  <si>
    <t>SPY-US</t>
  </si>
  <si>
    <t>AMEX:SPY</t>
  </si>
  <si>
    <t>NYSE:SPY</t>
  </si>
  <si>
    <t>BATS:SPY</t>
  </si>
  <si>
    <t>NasdaqGM:SPY</t>
  </si>
  <si>
    <t>Also try SPGRANGEV bulk on the winning format:</t>
  </si>
  <si>
    <t>ARCA:XLE (edit if needed)</t>
  </si>
  <si>
    <t>允䅁䍁䅕䅁十䅁䅁兑乂䕁䅕䅗㙁䙁䅧䅔䙂䅁䅁䅅䅁䉁䅉䅁䉂䙁䅉睑䉂䑁䅯䅗䵂䕁䅕䅁䅁䅁䅁䅉䅁䙁䅍䅕時䕁䅍睔乂䙁䅁兑佂䙁䅫睘佂䕁䅅兔䙂䅁䅁允䅁䩁䅑䅁啂䝁䅧党杁䙁䅍党獂䝁䅕睙あ䍁䅁睕求䝁䅍䅤療䡁䅉䅉呂䙁䅁䅒卂䍁䅁䅖祂䡁䅕督あ䍁䅁兌杁䙁䅍䅤桂䡁䅑党杁䙁䅍䅤祂䝁䅕党あ䍁䅁兒畂䝁䅕杣湂䡁䅫䅉呂䝁䅕䅢求䝁䅍䅤杁䙁䅍党橂䡁䅑睢祂䍁䅁睕兂䕁䅑杕杁䕁䅕䅖䝂䅁䅁杁䅁䉁䅯䅁佂䙁䅫睕䙂䕁䅅杕䑂䕁䅅杏奂䕁䅷兒䅁䅁䅣䅁楁䅁䅁睔睂䡁䅑兡療䝁䄴督㙁䕁䅍兤祂䡁䅉児噂䙁䅍䅒䅁䅁䅑䅁潁䅁䅁睉䩂䕁䄴杖䉂䕁䅷兓䕂䍁䅁睑偂䕁䄰䅕䉂䕁䄴兗杁䕁䅫䅒䅁䅁䅙䅁敁䅁䅁睕兂䙁䄸䅕卂䕁䅫睑䙂䙁䄸睑䵂䕁䄸睕䙂䅁䅁睁䅁䉁䅉䅁䍂䕁䅅䅖呂䑁䅯䅗䵂䕁䅕䅁䙁䅁䅁杇䅁䕁䄴兙穂䝁䅑兙硂䕁䅣兔㙁䙁䅧䅔䙂䅁䅁䅃䅁䉁䅉䅁䉂䙁䅉睑䉂䑁䅯睕兂䙁䅫䅁桁䅁䅁杅䅁䕁䅅兔䙂䙁䅧杏呂䙁䅁兗䅁䅁䅫䅁慁䅁䅁杔婂䙁䅍兒䉂䡁䅉睙桂䑁䅯䅗䵂䕁䅕䅁䭁䅁䅁杇䅁䕁䄴兗呂䕁䅕兑卂䕁䅍兑㙁䕁䄸兓䥂䅁䅁睃䅁䅁䅧䅁奂䕁䅷兒䅁䅁䅷䅁佁䅁䅁䅗䵂䕁䅕兌噂䙁䅍䅁佁䅁䅁杇䅁䕁䄴兙穂䝁䅑兙硂䕁䅣兔㙁䙁䅍䅕婂䅁䅁兄䅁䉁䅉䅁䍂䕁䅅䅖呂䑁䅯睔䩂䕁䅧䅁偁䅁䅁杅䅁䕁䅉兑啂䙁䅍杏呂䙁䅁兗䅁䍁䅑䅁慁䅁䅁杔婂䙁䅍兒䉂䡁䅉睙桂䑁䅯睔䩂䕁䅧䅁剁䅁䅁䅃䅁䙁䅍䅕婂䅁䅁杅䅁䕁䅧䅁呂䡁䅑兙あ䝁䅕䅉呂䡁䅑杣求䝁䅕䅤杁䙁䅍䅕䕂䙁䅉䅉呂䍁䅙䅕杁䑁䅕䅍睁䍁䅁兒啂䕁䅙䅉啂䡁䅉兤穂䡁䅑䅁呁䅁䅁杅䅁䕁䄴兗呂䕁䅕杏偂䕁䅫䅓䅁䉁䅑䅁十䅁䅁杔婂䙁䅍兒㙁䙁䅧䅔䙂䅁䅁兆䅁䉁䅉䅁䉂䙁䅉睑䉂䑁䅯睔䩂䕁䅧䅁奁䅁䅁杅䅁䕁䅅兔䙂䙁䅧杏偂䕁䅫䅓䅁䉁䅙䅁慁䅁䅁杔婂䙁䅍兒䉂䙁䅉睑䉂䑁䅯睕兂䙁䅫䅁塁䅁䅁杖䅁䙁䅙兙畂䕁䅕睙牂䍁䅁兒啂䕁䅙䅉啂䡁䅉兤穂䡁䅑䅉瑁䍁䅁杖桂䝁䄴兒橂䝁䅳䅉偂䝁䅫䅢杁䙁䅍党祂䡁䅙兡橂䝁䅕督杁䕁䅕䅖䝂䅁䅁兇䅁䉁䅯䅁佂䙁䅫睕䙂䕁䅅杣橂䝁䅅杏呂䙁䅁兗䅁䉁䅯䅁䥁䅁䅁睔䩂䕁䅧䅁扁䅁䅁杄䅁䕁䄸兓䥂䍁䄰兖呂䅁䅁䅈䅁䝁䅁䅁扂䝁䅍兡硂䙁䄸党あ䝁䅙睘あ䝁䅫睙牂䝁䅕杣時䡁䅑党穂䡁䅑杌㑂䝁䅷督㑂䙁䄰兒啂䕁䅙睘あ䝁䅫睙牂䝁䅕杣時䡁䅑党穂䡁䅑光歁䕁䅍䅊穁䑁䅙䅁摁䅁䅁杨䅁䕁䄸䅣あ䝁䅫睢畂䡁䅍杏杁䕁䄴兑㥁䕁䄴兑潁䍁䅫䅌杁䙁䅍睢祂䡁䅑児䉂䡁䅍睙獁䕁䅑兙あ䝁䅕督㥁䕁䅉党浂䝁䄸杣求䍁䅷睙ㅂ䡁䅉杣求䝁䄴睙㕂䑁䄰兖呂䕁䅑䅌䑂䝁䅅䅣あ䝁䅫睢畂䑁䄰睑獂䝁䄸督求䅁䅁杈䅁䉁䅯䅁佂䝁䅅督歂䝁䅅兣䡂䕁䄰杏偂䕁䅫䅓䅁䍁䅁䅁䵁䅁䅁睑獂䝁䄸督求䅁䅁睈䅁䉁䅉䅁佂䙁䅫睕䙂䑁䅯睕兂䙁䅫䅁橁䅁䅁杄䅁䙁䅍䅕婂䍁䄰兖呂䅁䅁杉䅁䑁䅣䅁䵁䅉䅅䅁䑁䅁䅁睁䵁䅁䅁权䅁䅁䅁权䉁䅁䅁允䅁䅁䅅䅁䭁䅁䅉䅁䵁䅉䅅䅁䙁䅁䅁睁䵁䅁䅁权䥁䅁䅁权䑁䅁䅁兂䅁䅁䅁䕙浶䅑䅯䅂䅁䅁䅅䅁䉁䅁䅁权䝁䅁䅁䍄䉁䅁䅁兂䅁䅁䅍䅄䅁䅁䅯权䅁䅁䅯睁䅁䅁䅕䅁䅁䝁䱂欵䭁䅁䅑䅁䉁䅁䅁允䅁䅁䅯杂䅁䅁杷允䅁䅁䅕䅁䑁䅁䅷䅁䭁䉁䅙䅁䭁䅁䅍䅁䙁䅁䅁䅁杂⭓䅚权䕁䅁䅁允䅁䅁䅅䅁䭁䅁䅙䅁䵁䅉䅅䅁䙁䅁䅁睁䵁䅁䅁权䅁䅁䅁权䑁䅁䅁兂䅁䅁䅁䕙浶䅑䅯䅂䅁䅁䅅䅁䉁䅁䅁兂䭁㘱睎慐䙰䅑杷允䅁䅁䅕䅁䑁䅁䅷䅁䭁䅁䅷䅁䭁䅁䅍䅁䙁䅁䅁䅁杂⭓䅚权䕁䅁䅁允䅁䅁䅅䅁䙁䅁塲㍯㥁歱䅖䍄䉁䅁䅁睁䅁䅁䅍䅄䅁䅁䅯䅅䅁䅁䅯允䅁䅁䅅䅁䉁䅁䅁权䝁䅁䅁䍄䉁䅁䅁兂䅁䅁䅍䅄䅁䅁䅯兂䅁䅁䅯睁䅁䅁䅕䅁䅁䝁䱂欵䭁䅁䅑䅁䉁䅁䅁允䅁䅁䅯杂䅁䅁杷允䅁䅁䅕䅁䑁䅁䅷䅁䭁䅁䅣䅁䭁䅁䅍䅁䙁䅁䅁䅁杂⭓䅚权䕁䅁䅁允䅁䅁䅅䅁䭁䅁䅙䅁䵁䅉䅅䅁䙁䅁䅁睁䵁䅁䅁权䩁䅁䅁权䑁䅁䅁兂䅁䅁䅁䕙浶䅑䅯䅂䅁䅁䅅䅁䉁䅁䅁权䝁䅁䅁䍄䉁䅁䅁睁䅁䅁䅍䅄䅁䅁䅯权䅁䅁䅯允䅁䅁䅅䅁䉁䅁䅁权䝁䅁䅁䍄䉁䅁䅁睁䅁䅁䅍䅄䅁䅁䅯充䅁䅁䅯允䅁䅁䅅䅁䉁䅁䅁权䝁䅁䅁䍄䉁䅁䅁睁䅁䅁䅍䅄䅁䅁䅯䅆䅁䅁䅯允䅁䅁䅅䅁䉁䅁䅁权䝁䅁䅁䍄䉁䅁䅁兂䅁䅁䅍䅄䅁䅁䅯睃䅁䅁䅯睁䅁䅁䅕䅁䅁䝁䱂欵䭁䅁䅑䅁䉁䅁䅁允䅁䅁䅯杂䅁䅁杷允䅁䅁䅍䅁䑁䅁䅷䅁䭁䅁䅣䅁䭁䅁䅅䅁䉁䅁䅁允䅁䅁䅯杂䅁䅁杷允䅁䅁䅍䅁䑁䅁䅷䅁䭁䅁䄰䅁䭁䅁䅅䅁䉁䅁䅁允䅁䅁䅯杂䅁䅁杷允䅁䅁䅍䅁䑁䅁䅷䅁䭁䍁䅑䅁䭁䅁䅅䅁䉁䅁䅁允䅁䅁䅯杂䅁䅁杷允䅁䅁䅍䅁䑁䅁䅷䅁䭁䅁䅷䅁䭁䅁䅅䅁䉁䅁䅁允䅁䅁䅯杁䅁䅁杷允䅁䅁䅕䅁䑁䅁䅷䅁䭁䍁䅁䅁䭁䅁䅍䅁䙁䅁䅁䅁杂⭓䅚权䕁䅁䅁允䅁䅁䅅䅁䭁䅁䅙䅁䵁䅉䅅䅁䙁䅁䅁睁䵁䅁䅁权佁䅁䅁权䑁䅁䅁兂䅁䅁䅁䕙浶䅑䅯䅂䅁䅁䅅䅁䉁䅁䅁兂䭁㘱睎慐䙰䅑杷允䅁䅁䅕䅁䑁䅁䅷䅁䭁䉁䅕䅁䭁䅁䅍䅁䙁䅁䅁䅁杂⭓䅚权䕁䅁䅁允䅁䅁䅅䅁䭁䅁䅙䅁䵁䅉䅅䅁䑁䅁䅁睁䵁䅁䅁权佁䅁䅁权䉁䅁䅁允䅁䅁䅅䅁䭁䅁䅉䅁䵁䅉䅅䅁䙁䅁䅁睁䵁䅁䅁权偁䅁䅁权䑁䅁䅁兂䅁䅁䅁䕙浶䅑䅯䅂䅁䅁䅅䅁䉁䅁䅁权䝁䅁䅁䍄䉁䅁䅁兂䅁䅁䅍䅄䅁䅁䅯䅅䅁䅁䅯睁䅁䅁䅕䅁䅁䝁䱂欵䭁䅁䅑䅁䉁䅁䅁允䅁䅁䅯杂䅁䅁杷允䅁䅁䅕䅁䑁䅁䅷䅁䭁䉁䅅䅁䭁䅁䅍䅁䙁䅁䅁䅁杂⭓䅚权䕁䅁䅁允䅁䅁䅅䅁䭁䅁䅙䅁䵁䅉䅅䅁䑁䅁䅁睁䵁䅁䅁权十䅁䅁权䉁䅁䅁允䅁䅁䅅䅁䭁䉁䅍䅁䵁䅉䅅䅁䑁䅁䅁睁䵁䅁䅁权橁䅁䅁权䉁䅁䅁允䅁䅁䅅䅁䭁䅁䅙䅁䵁䅉䅅䅁䙁䅁䅁睁䵁䅁䅁权啁䅁䅁权䑁䅁䅁兂䅁䅁䅁䕙浶䅑䅯䅂䅁䅁䅅䅁䉁䅁䅁权䝁䅁䅁䍄䉁䅁䅁睁䅁䅁䅍䅄䅁䅁䅯兆䅁䅁䅯允䅁䅁䅅䅁䉁䅁䅁权䝁䅁䅁䍄䉁䅁䅁睁䅁䅁䅍䅄䅁䅁䅯杆䅁䅁䅯允䅁䅁䅅䅁䉁䅁䅁权䝁䅁䅁䍄䉁䅁䅁睁䅁䅁䅍䅄䅁䅁䅯睆䅁䅁䅯允䅁䅁䅅䅁䉁䅁䅁权䝁䅁䅁䍄䉁䅁䅁睁䅁䅁䅍䅄䅁䅁䅯兂䅁䅁䅯允䅁䅁䅅䅁䉁䅁䅁权䝁䅁䅁䍄䉁䅁䅁睁䅁䅁䅍䅄䅁䅁䅯䅃䅁䅁䅯允䅁䅁䅅䅁䉁䅁䅁权䝁䅁䅁䍄䉁䅁䅁兂䅁䅁䅍䅄䅁䅁䅯睆䅁䅁䅯睁䅁䅁䅕䅁䅁䝁䱂欵䭁䅁䅑䅁䉁䅁䅁允䅁䅁䅯杂䅁䅁杷允䅁䅁䅍䅁䑁䅁䅷䅁䭁䅁䄸䅁䭁䅁䅅䅁䉁䅁䅁允䅁䅁䅯杂䅁䅁杷允䅁䅁䅕䅁䑁䅁䅷䅁䭁䉁䅧䅁䭁䅁䅍䅁䙁䅁䅁䅁杂⭓䅚权䕁䅁䅁允䅁䅁䅅䅁䙁䡁啳歲桦湑䅆䍄䉁䅁䅁兂䅁䅁䅍䅄䅁䅁䅯光䅁䅁䅯睁䅁䅁䅕䅁䅁䝁䱂欵䭁䅁䅑䅁䉁䅁䅁允䅁䅁䅕敨剴䉵䘵歧䵁䅉䅅䅁䑁䅁䅁睁䵁䅁䅁权奁䅁䅁权䉁䅁䅁允䅁䅁䅅䅁䭁䉁䅫䅁䵁䅉䅅䅁䡁䅁䅁䍄䉁䅁䅁杂䅁䅁䅯先䅁䅁䅯䅁䅁䅁䅯睁䅁䅁䅕䅁䅁䕁䱂欵䙁䅁䅁䅁䅁敔䅚权敁䅁䅁䅆潃坓末䡭噯剌䅑癌䍷甶䩣㍍啳䅁㑋㜹単婌祵䅆㙁呏桓午浅䉥䅑䉑攫橲噃杊唴乁㉑㙣桡敹浙允䅁䅁䅅䅁䭁䉁䄸䅁䵁䅉䅅䅁䙁䅁䅁睁䵁䅁䅁权慁䅁䅁权䑁䅁䅁兂䅁䅁䅁䕙浶䅑䅯䅂䅁䅁䅅䅁䉁䅁䅁权䝁䅁䅁䍄䉁䅁䅁睁䅁䅁䅍䅄䅁䅁䅯睃䅁䅁䅯允䅁䅁䅅䅁䉁䅁䅁权䝁䅁䅁䍄䉁䅁䅁兂䅁䅁䅍䅄䅁䅁䅯睇䅁䅁䅯睁䅁䅁䅕䅁䅁䝁䱂欵䭁䅁䅑䅁䉁䅁䅁允䅁䅁䅕硥畓⭒䍆啣䵁䅉䅅䅁䑁䅁䅁睁䵁䅁䅁权扁䅁䅁权䉁䅁䅁允䅁䅁䅅䅁䭁䉁䅫䅁䵁䅉䅅䅁䙁䅁䅁睁䵁䅁䅁权捁䅁䅁权䑁䅁䅁兂䅁䅁䅁䕙浶䅑䅯䅂䅁䅁䅅䅁䉁䅁䅁兂㝂䭆䠵唴硊䅑杷允䅁䅁䅍䅁䑁䅁䅷䅁䭁䉁䅷䅁䭁䅁䅅䅁䉁䅁䅁允䅁䅁䅯兇䅁䅁杷允䅁䅁䅍䅁䑁䅁䅷䅁䭁䍁䅁䅁䭁䅁䅅䅁䉁䅁䅁允䅁䅁䅯杂䅁䅁杷允䅁䅁䅕䅁䑁䅁䅷䅁䭁䅁䄰䅁䭁䅁䅍䅁䙁䅁䅁䅁杂⭓䅚权䕁䅁䅁允䅁䅁䅅䅁䭁䅁䅙䅁䵁䅉䅅䅁䑁䅁䅁睁䵁䅁䅁权䩁䅁䅁权䉁䅁䅁允䅁䅁䅅䅁䭁䅁䅙䅁䵁䅉䅅䅁䑁䅁䅁睁䵁䅁䅁权桁䅁䅁权䉁䅁䅁允䅁䅁䅅䅁䭁䉁䅍䅁䵁䅉䅅䅁䑁䅁䅁睁䵁䅁䅁权慁䅁䅁权䉁䅁䅁允䅁䅁䅅䅁䭁䅁䅙䅁䵁䅉䅅䅁䙁䅁䅁睁䵁䅁䅁权橁䅁䅁权䑁䅁䅁兂䅁䅁䅁䕙浶䅑䅯䅂䅁䅁䅅䅁䉁䅁䅁权䝁䅁䅁䍄䉁䅁䅁兂䅁䅁䅍䅄䅁䅁䅯杅䅁䅁䅯睁䅁䅁䅕䅁䅁䝁䱂欵䭁䅁䅑䅁䉁䅁䅁允䅁䅁䅕敨剴䉵䘵歧䵁䅉䅅䅁䙁䅁䅁睁䵁䅁䅁权楁䅁䅁权䑁䅁䅁兂䅁䅁䅁䕙浶䅑䅯䅂䅁䅁䅅䅁䉁䅁䅁兂䙃ㄶ㑇歈䍗䅑杷允䅁䅁䅍䅁䑁䅁䅷䅁䭁䍁䅉䅁䭁䅁䅅䅁䉁䅁䅁允䅁䅁䅯睅䅁䅁杷允䅁䅁䅕䅁䑁䅁䅷䅁䭁䍁䅑䅁䭁䅁䅍䅁䙁䅁䅁䅁杂⭓䅚权䕁䅁䅁允䅁䅁䅅䅁䭁䅁䅙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</si>
</sst>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4" fontId="0" fillId="0" borderId="0" xfId="0" applyNumberFormat="1" applyAlignment="1">
      <alignment horizontal="right"/>
    </xf>
    <xf numFmtId="1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1D28-C09D-4C0A-9F29-C1E9C8F5EDEB}">
  <dimension ref="A1"/>
  <sheetViews>
    <sheetView workbookViewId="0"/>
  </sheetViews>
  <sheetFormatPr defaultRowHeight="14.4" x14ac:dyDescent="0.3"/>
  <sheetData>
    <row r="1" spans="1:1" x14ac:dyDescent="0.3">
      <c r="A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topLeftCell="A8" workbookViewId="0">
      <selection activeCell="C34" sqref="C34"/>
    </sheetView>
  </sheetViews>
  <sheetFormatPr defaultRowHeight="14.4" x14ac:dyDescent="0.3"/>
  <cols>
    <col min="1" max="1" width="8" customWidth="1"/>
    <col min="2" max="2" width="18" customWidth="1"/>
    <col min="3" max="3" width="26" customWidth="1"/>
    <col min="4" max="4" width="40" customWidth="1"/>
  </cols>
  <sheetData>
    <row r="1" spans="1:4" x14ac:dyDescent="0.3">
      <c r="A1" t="s">
        <v>0</v>
      </c>
    </row>
    <row r="3" spans="1:4" x14ac:dyDescent="0.3">
      <c r="A3" s="1" t="s">
        <v>1</v>
      </c>
      <c r="B3" s="1" t="s">
        <v>2</v>
      </c>
      <c r="C3" s="1" t="s">
        <v>3</v>
      </c>
      <c r="D3" s="1" t="s">
        <v>4</v>
      </c>
    </row>
    <row r="4" spans="1:4" x14ac:dyDescent="0.3">
      <c r="A4" t="s">
        <v>5</v>
      </c>
      <c r="B4" t="s">
        <v>6</v>
      </c>
      <c r="C4" s="2">
        <f>_xll.SNL.Clients.Office.Excel.Functions.SPG("ARCA:XLE","SP_PRICE_CLOSE",DATE(2025,1,2),"Options:Curr=USD")</f>
        <v>43.33</v>
      </c>
      <c r="D4" t="str">
        <f>_xll.SNL.Clients.Office.Excel.Functions.SPG("ARCA:XLE","SP_COMPANY_NAME")</f>
        <v>The Select Sector SPDR Trust - State Street Energy Select Sector SPDR ETF</v>
      </c>
    </row>
    <row r="5" spans="1:4" x14ac:dyDescent="0.3">
      <c r="A5" t="s">
        <v>5</v>
      </c>
      <c r="B5" t="s">
        <v>7</v>
      </c>
      <c r="C5" t="str">
        <f>_xll.SNL.Clients.Office.Excel.Functions.SPG("NYSEArca:XLE","SP_PRICE_CLOSE",DATE(2025,1,2),"Options:Curr=USD")</f>
        <v>#INVALID COMPANY ID</v>
      </c>
      <c r="D5" t="str">
        <f>_xll.SNL.Clients.Office.Excel.Functions.SPG("NYSEArca:XLE","SP_COMPANY_NAME")</f>
        <v>#INVALID COMPANY ID</v>
      </c>
    </row>
    <row r="6" spans="1:4" x14ac:dyDescent="0.3">
      <c r="A6" t="s">
        <v>5</v>
      </c>
      <c r="B6" t="s">
        <v>8</v>
      </c>
      <c r="C6" t="str">
        <f>_xll.SNL.Clients.Office.Excel.Functions.SPG("NYSEARCA:XLE","SP_PRICE_CLOSE",DATE(2025,1,2),"Options:Curr=USD")</f>
        <v>#INVALID COMPANY ID</v>
      </c>
      <c r="D6" t="str">
        <f>_xll.SNL.Clients.Office.Excel.Functions.SPG("NYSEARCA:XLE","SP_COMPANY_NAME")</f>
        <v>#INVALID COMPANY ID</v>
      </c>
    </row>
    <row r="7" spans="1:4" x14ac:dyDescent="0.3">
      <c r="A7" t="s">
        <v>5</v>
      </c>
      <c r="B7" t="s">
        <v>5</v>
      </c>
      <c r="C7" s="2">
        <f>_xll.SNL.Clients.Office.Excel.Functions.SPG("XLE","SP_PRICE_CLOSE",DATE(2025,1,2),"Options:Curr=USD")</f>
        <v>43.33</v>
      </c>
      <c r="D7" t="str">
        <f>_xll.SNL.Clients.Office.Excel.Functions.SPG("XLE","SP_COMPANY_NAME")</f>
        <v>The Select Sector SPDR Trust - State Street Energy Select Sector SPDR ETF</v>
      </c>
    </row>
    <row r="8" spans="1:4" x14ac:dyDescent="0.3">
      <c r="A8" t="s">
        <v>5</v>
      </c>
      <c r="B8" t="s">
        <v>9</v>
      </c>
      <c r="C8" s="2">
        <f>_xll.SNL.Clients.Office.Excel.Functions.SPG("XLE-US","SP_PRICE_CLOSE",DATE(2025,1,2),"Options:Curr=USD")</f>
        <v>43.33</v>
      </c>
      <c r="D8" t="str">
        <f>_xll.SNL.Clients.Office.Excel.Functions.SPG("XLE-US","SP_COMPANY_NAME")</f>
        <v>The Select Sector SPDR Trust - State Street Energy Select Sector SPDR ETF</v>
      </c>
    </row>
    <row r="9" spans="1:4" x14ac:dyDescent="0.3">
      <c r="A9" t="s">
        <v>5</v>
      </c>
      <c r="B9" t="s">
        <v>10</v>
      </c>
      <c r="C9" t="str">
        <f>_xll.SNL.Clients.Office.Excel.Functions.SPG("AMEX:XLE","SP_PRICE_CLOSE",DATE(2025,1,2),"Options:Curr=USD")</f>
        <v>#INVALID COMPANY ID</v>
      </c>
      <c r="D9" t="str">
        <f>_xll.SNL.Clients.Office.Excel.Functions.SPG("AMEX:XLE","SP_COMPANY_NAME")</f>
        <v>#INVALID COMPANY ID</v>
      </c>
    </row>
    <row r="10" spans="1:4" x14ac:dyDescent="0.3">
      <c r="A10" t="s">
        <v>5</v>
      </c>
      <c r="B10" t="s">
        <v>11</v>
      </c>
      <c r="C10" t="str">
        <f>_xll.SNL.Clients.Office.Excel.Functions.SPG("NYSE:XLE","SP_PRICE_CLOSE",DATE(2025,1,2),"Options:Curr=USD")</f>
        <v>#INVALID COMPANY ID</v>
      </c>
      <c r="D10" t="str">
        <f>_xll.SNL.Clients.Office.Excel.Functions.SPG("NYSE:XLE","SP_COMPANY_NAME")</f>
        <v>#INVALID COMPANY ID</v>
      </c>
    </row>
    <row r="11" spans="1:4" x14ac:dyDescent="0.3">
      <c r="A11" t="s">
        <v>5</v>
      </c>
      <c r="B11" t="s">
        <v>12</v>
      </c>
      <c r="C11" t="str">
        <f>_xll.SNL.Clients.Office.Excel.Functions.SPG("BATS:XLE","SP_PRICE_CLOSE",DATE(2025,1,2),"Options:Curr=USD")</f>
        <v>#INVALID COMPANY ID</v>
      </c>
      <c r="D11" t="str">
        <f>_xll.SNL.Clients.Office.Excel.Functions.SPG("BATS:XLE","SP_COMPANY_NAME")</f>
        <v>#INVALID COMPANY ID</v>
      </c>
    </row>
    <row r="12" spans="1:4" x14ac:dyDescent="0.3">
      <c r="A12" t="s">
        <v>5</v>
      </c>
      <c r="B12" t="s">
        <v>13</v>
      </c>
      <c r="C12" t="str">
        <f>_xll.SNL.Clients.Office.Excel.Functions.SPG("NasdaqGM:XLE","SP_PRICE_CLOSE",DATE(2025,1,2),"Options:Curr=USD")</f>
        <v>#INVALID COMPANY ID</v>
      </c>
      <c r="D12" t="str">
        <f>_xll.SNL.Clients.Office.Excel.Functions.SPG("NasdaqGM:XLE","SP_COMPANY_NAME")</f>
        <v>#INVALID COMPANY ID</v>
      </c>
    </row>
    <row r="14" spans="1:4" x14ac:dyDescent="0.3">
      <c r="A14" t="s">
        <v>14</v>
      </c>
      <c r="B14" t="s">
        <v>15</v>
      </c>
      <c r="C14" s="2">
        <f>_xll.SNL.Clients.Office.Excel.Functions.SPG("ARCA:OIH","SP_PRICE_CLOSE",DATE(2025,1,2),"Options:Curr=USD")</f>
        <v>276.18</v>
      </c>
      <c r="D14" t="str">
        <f>_xll.SNL.Clients.Office.Excel.Functions.SPG("ARCA:OIH","SP_COMPANY_NAME")</f>
        <v>VanEck ETF Trust - VanEck Oil Services ETF</v>
      </c>
    </row>
    <row r="15" spans="1:4" x14ac:dyDescent="0.3">
      <c r="A15" t="s">
        <v>14</v>
      </c>
      <c r="B15" t="s">
        <v>16</v>
      </c>
      <c r="C15" t="str">
        <f>_xll.SNL.Clients.Office.Excel.Functions.SPG("NYSEArca:OIH","SP_PRICE_CLOSE",DATE(2025,1,2),"Options:Curr=USD")</f>
        <v>#INVALID COMPANY ID</v>
      </c>
      <c r="D15" t="str">
        <f>_xll.SNL.Clients.Office.Excel.Functions.SPG("NYSEArca:OIH","SP_COMPANY_NAME")</f>
        <v>#INVALID COMPANY ID</v>
      </c>
    </row>
    <row r="16" spans="1:4" x14ac:dyDescent="0.3">
      <c r="A16" t="s">
        <v>14</v>
      </c>
      <c r="B16" t="s">
        <v>17</v>
      </c>
      <c r="C16" t="str">
        <f>_xll.SNL.Clients.Office.Excel.Functions.SPG("NYSEARCA:OIH","SP_PRICE_CLOSE",DATE(2025,1,2),"Options:Curr=USD")</f>
        <v>#INVALID COMPANY ID</v>
      </c>
      <c r="D16" t="str">
        <f>_xll.SNL.Clients.Office.Excel.Functions.SPG("NYSEARCA:OIH","SP_COMPANY_NAME")</f>
        <v>#INVALID COMPANY ID</v>
      </c>
    </row>
    <row r="17" spans="1:4" x14ac:dyDescent="0.3">
      <c r="A17" t="s">
        <v>14</v>
      </c>
      <c r="B17" t="s">
        <v>14</v>
      </c>
      <c r="C17" s="2">
        <f>_xll.SNL.Clients.Office.Excel.Functions.SPG("OIH","SP_PRICE_CLOSE",DATE(2025,1,2),"Options:Curr=USD")</f>
        <v>276.18</v>
      </c>
      <c r="D17" t="str">
        <f>_xll.SNL.Clients.Office.Excel.Functions.SPG("OIH","SP_COMPANY_NAME")</f>
        <v>VanEck ETF Trust - VanEck Oil Services ETF</v>
      </c>
    </row>
    <row r="18" spans="1:4" x14ac:dyDescent="0.3">
      <c r="A18" t="s">
        <v>14</v>
      </c>
      <c r="B18" t="s">
        <v>18</v>
      </c>
      <c r="C18" s="2">
        <f>_xll.SNL.Clients.Office.Excel.Functions.SPG("OIH-US","SP_PRICE_CLOSE",DATE(2025,1,2),"Options:Curr=USD")</f>
        <v>276.18</v>
      </c>
      <c r="D18" t="str">
        <f>_xll.SNL.Clients.Office.Excel.Functions.SPG("OIH-US","SP_COMPANY_NAME")</f>
        <v>VanEck ETF Trust - VanEck Oil Services ETF</v>
      </c>
    </row>
    <row r="19" spans="1:4" x14ac:dyDescent="0.3">
      <c r="A19" t="s">
        <v>14</v>
      </c>
      <c r="B19" t="s">
        <v>19</v>
      </c>
      <c r="C19" t="str">
        <f>_xll.SNL.Clients.Office.Excel.Functions.SPG("AMEX:OIH","SP_PRICE_CLOSE",DATE(2025,1,2),"Options:Curr=USD")</f>
        <v>#INVALID COMPANY ID</v>
      </c>
      <c r="D19" t="str">
        <f>_xll.SNL.Clients.Office.Excel.Functions.SPG("AMEX:OIH","SP_COMPANY_NAME")</f>
        <v>#INVALID COMPANY ID</v>
      </c>
    </row>
    <row r="20" spans="1:4" x14ac:dyDescent="0.3">
      <c r="A20" t="s">
        <v>14</v>
      </c>
      <c r="B20" t="s">
        <v>20</v>
      </c>
      <c r="C20" t="str">
        <f>_xll.SNL.Clients.Office.Excel.Functions.SPG("NYSE:OIH","SP_PRICE_CLOSE",DATE(2025,1,2),"Options:Curr=USD")</f>
        <v>#INVALID COMPANY ID</v>
      </c>
      <c r="D20" t="str">
        <f>_xll.SNL.Clients.Office.Excel.Functions.SPG("NYSE:OIH","SP_COMPANY_NAME")</f>
        <v>#INVALID COMPANY ID</v>
      </c>
    </row>
    <row r="21" spans="1:4" x14ac:dyDescent="0.3">
      <c r="A21" t="s">
        <v>14</v>
      </c>
      <c r="B21" t="s">
        <v>21</v>
      </c>
      <c r="C21" t="str">
        <f>_xll.SNL.Clients.Office.Excel.Functions.SPG("BATS:OIH","SP_PRICE_CLOSE",DATE(2025,1,2),"Options:Curr=USD")</f>
        <v>#INVALID COMPANY ID</v>
      </c>
      <c r="D21" t="str">
        <f>_xll.SNL.Clients.Office.Excel.Functions.SPG("BATS:OIH","SP_COMPANY_NAME")</f>
        <v>#INVALID COMPANY ID</v>
      </c>
    </row>
    <row r="22" spans="1:4" x14ac:dyDescent="0.3">
      <c r="A22" t="s">
        <v>14</v>
      </c>
      <c r="B22" t="s">
        <v>22</v>
      </c>
      <c r="C22" t="str">
        <f>_xll.SNL.Clients.Office.Excel.Functions.SPG("NasdaqGM:OIH","SP_PRICE_CLOSE",DATE(2025,1,2),"Options:Curr=USD")</f>
        <v>#INVALID COMPANY ID</v>
      </c>
      <c r="D22" t="str">
        <f>_xll.SNL.Clients.Office.Excel.Functions.SPG("NasdaqGM:OIH","SP_COMPANY_NAME")</f>
        <v>#INVALID COMPANY ID</v>
      </c>
    </row>
    <row r="24" spans="1:4" x14ac:dyDescent="0.3">
      <c r="A24" t="s">
        <v>23</v>
      </c>
      <c r="B24" t="s">
        <v>24</v>
      </c>
      <c r="C24" s="2">
        <f>_xll.SNL.Clients.Office.Excel.Functions.SPG("ARCA:SPY","SP_PRICE_CLOSE",DATE(2025,1,2),"Options:Curr=USD")</f>
        <v>584.64</v>
      </c>
      <c r="D24" t="str">
        <f>_xll.SNL.Clients.Office.Excel.Functions.SPG("ARCA:SPY","SP_COMPANY_NAME")</f>
        <v>State Street SPDR S&amp;P 500 ETF Trust</v>
      </c>
    </row>
    <row r="25" spans="1:4" x14ac:dyDescent="0.3">
      <c r="A25" t="s">
        <v>23</v>
      </c>
      <c r="B25" t="s">
        <v>25</v>
      </c>
      <c r="C25" t="str">
        <f>_xll.SNL.Clients.Office.Excel.Functions.SPG("NYSEArca:SPY","SP_PRICE_CLOSE",DATE(2025,1,2),"Options:Curr=USD")</f>
        <v>#INVALID COMPANY ID</v>
      </c>
      <c r="D25" t="str">
        <f>_xll.SNL.Clients.Office.Excel.Functions.SPG("NYSEArca:SPY","SP_COMPANY_NAME")</f>
        <v>#INVALID COMPANY ID</v>
      </c>
    </row>
    <row r="26" spans="1:4" x14ac:dyDescent="0.3">
      <c r="A26" t="s">
        <v>23</v>
      </c>
      <c r="B26" t="s">
        <v>26</v>
      </c>
      <c r="C26" t="str">
        <f>_xll.SNL.Clients.Office.Excel.Functions.SPG("NYSEARCA:SPY","SP_PRICE_CLOSE",DATE(2025,1,2),"Options:Curr=USD")</f>
        <v>#INVALID COMPANY ID</v>
      </c>
      <c r="D26" t="str">
        <f>_xll.SNL.Clients.Office.Excel.Functions.SPG("NYSEARCA:SPY","SP_COMPANY_NAME")</f>
        <v>#INVALID COMPANY ID</v>
      </c>
    </row>
    <row r="27" spans="1:4" x14ac:dyDescent="0.3">
      <c r="A27" t="s">
        <v>23</v>
      </c>
      <c r="B27" t="s">
        <v>23</v>
      </c>
      <c r="C27" s="2">
        <f>_xll.SNL.Clients.Office.Excel.Functions.SPG("SPY","SP_PRICE_CLOSE",DATE(2025,1,2),"Options:Curr=USD")</f>
        <v>584.64</v>
      </c>
      <c r="D27" t="str">
        <f>_xll.SNL.Clients.Office.Excel.Functions.SPG("SPY","SP_COMPANY_NAME")</f>
        <v>State Street SPDR S&amp;P 500 ETF Trust</v>
      </c>
    </row>
    <row r="28" spans="1:4" x14ac:dyDescent="0.3">
      <c r="A28" t="s">
        <v>23</v>
      </c>
      <c r="B28" t="s">
        <v>27</v>
      </c>
      <c r="C28" s="2">
        <f>_xll.SNL.Clients.Office.Excel.Functions.SPG("SPY-US","SP_PRICE_CLOSE",DATE(2025,1,2),"Options:Curr=USD")</f>
        <v>584.64</v>
      </c>
      <c r="D28" t="str">
        <f>_xll.SNL.Clients.Office.Excel.Functions.SPG("SPY-US","SP_COMPANY_NAME")</f>
        <v>State Street SPDR S&amp;P 500 ETF Trust</v>
      </c>
    </row>
    <row r="29" spans="1:4" x14ac:dyDescent="0.3">
      <c r="A29" t="s">
        <v>23</v>
      </c>
      <c r="B29" t="s">
        <v>28</v>
      </c>
      <c r="C29" t="str">
        <f>_xll.SNL.Clients.Office.Excel.Functions.SPG("AMEX:SPY","SP_PRICE_CLOSE",DATE(2025,1,2),"Options:Curr=USD")</f>
        <v>#INVALID COMPANY ID</v>
      </c>
      <c r="D29" t="str">
        <f>_xll.SNL.Clients.Office.Excel.Functions.SPG("AMEX:SPY","SP_COMPANY_NAME")</f>
        <v>#INVALID COMPANY ID</v>
      </c>
    </row>
    <row r="30" spans="1:4" x14ac:dyDescent="0.3">
      <c r="A30" t="s">
        <v>23</v>
      </c>
      <c r="B30" t="s">
        <v>29</v>
      </c>
      <c r="C30" t="str">
        <f>_xll.SNL.Clients.Office.Excel.Functions.SPG("NYSE:SPY","SP_PRICE_CLOSE",DATE(2025,1,2),"Options:Curr=USD")</f>
        <v>#INVALID COMPANY ID</v>
      </c>
      <c r="D30" t="str">
        <f>_xll.SNL.Clients.Office.Excel.Functions.SPG("NYSE:SPY","SP_COMPANY_NAME")</f>
        <v>#INVALID COMPANY ID</v>
      </c>
    </row>
    <row r="31" spans="1:4" x14ac:dyDescent="0.3">
      <c r="A31" t="s">
        <v>23</v>
      </c>
      <c r="B31" t="s">
        <v>30</v>
      </c>
      <c r="C31" t="str">
        <f>_xll.SNL.Clients.Office.Excel.Functions.SPG("BATS:SPY","SP_PRICE_CLOSE",DATE(2025,1,2),"Options:Curr=USD")</f>
        <v>#INVALID COMPANY ID</v>
      </c>
      <c r="D31" t="str">
        <f>_xll.SNL.Clients.Office.Excel.Functions.SPG("BATS:SPY","SP_COMPANY_NAME")</f>
        <v>#INVALID COMPANY ID</v>
      </c>
    </row>
    <row r="32" spans="1:4" x14ac:dyDescent="0.3">
      <c r="A32" t="s">
        <v>23</v>
      </c>
      <c r="B32" t="s">
        <v>31</v>
      </c>
      <c r="C32" t="str">
        <f>_xll.SNL.Clients.Office.Excel.Functions.SPG("NasdaqGM:SPY","SP_PRICE_CLOSE",DATE(2025,1,2),"Options:Curr=USD")</f>
        <v>#INVALID COMPANY ID</v>
      </c>
      <c r="D32" t="str">
        <f>_xll.SNL.Clients.Office.Excel.Functions.SPG("NasdaqGM:SPY","SP_COMPANY_NAME")</f>
        <v>#INVALID COMPANY ID</v>
      </c>
    </row>
    <row r="35" spans="1:3" x14ac:dyDescent="0.3">
      <c r="A35" t="s">
        <v>32</v>
      </c>
    </row>
    <row r="36" spans="1:3" x14ac:dyDescent="0.3">
      <c r="A36" t="s">
        <v>33</v>
      </c>
      <c r="C36" t="str">
        <f>_xll.SNL.Clients.Office.Excel.Functions.SPGRANGEV("ARCA:XLE","SP_PRICE_CLOSE",DATE(2025,1,1),DATE(2025,1,15),"Options: NA=NA(), Sort=Asc,Dates=Before,currency=USD,Caption=Close")</f>
        <v>Close</v>
      </c>
    </row>
    <row r="37" spans="1:3" x14ac:dyDescent="0.3">
      <c r="B37" s="3">
        <v>45659</v>
      </c>
      <c r="C37" s="2">
        <v>43.33</v>
      </c>
    </row>
    <row r="38" spans="1:3" x14ac:dyDescent="0.3">
      <c r="B38" s="3">
        <v>45660</v>
      </c>
      <c r="C38" s="2">
        <v>43.734999999999999</v>
      </c>
    </row>
    <row r="39" spans="1:3" x14ac:dyDescent="0.3">
      <c r="B39" s="3">
        <v>45663</v>
      </c>
      <c r="C39" s="2">
        <v>43.534999999999997</v>
      </c>
    </row>
    <row r="40" spans="1:3" x14ac:dyDescent="0.3">
      <c r="B40" s="3">
        <v>45664</v>
      </c>
      <c r="C40" s="2">
        <v>43.97</v>
      </c>
    </row>
    <row r="41" spans="1:3" x14ac:dyDescent="0.3">
      <c r="B41" s="3">
        <v>45665</v>
      </c>
      <c r="C41" s="2">
        <v>44.015000000000001</v>
      </c>
    </row>
    <row r="42" spans="1:3" x14ac:dyDescent="0.3">
      <c r="B42" s="3">
        <v>45667</v>
      </c>
      <c r="C42" s="2">
        <v>44.195</v>
      </c>
    </row>
    <row r="43" spans="1:3" x14ac:dyDescent="0.3">
      <c r="B43" s="3">
        <v>45670</v>
      </c>
      <c r="C43" s="2">
        <v>45.125</v>
      </c>
    </row>
    <row r="44" spans="1:3" x14ac:dyDescent="0.3">
      <c r="B44" s="3">
        <v>45671</v>
      </c>
      <c r="C44" s="2">
        <v>45.61</v>
      </c>
    </row>
    <row r="45" spans="1:3" x14ac:dyDescent="0.3">
      <c r="B45" s="3">
        <v>45672</v>
      </c>
      <c r="C45" s="2">
        <v>46.284999999999997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ETF_ticker_test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Vamsee Ravella</cp:lastModifiedBy>
  <dcterms:created xsi:type="dcterms:W3CDTF">2026-08-19T03:06:52Z</dcterms:created>
  <dcterms:modified xsi:type="dcterms:W3CDTF">2026-08-19T15:51:18Z</dcterms:modified>
</cp:coreProperties>
</file>